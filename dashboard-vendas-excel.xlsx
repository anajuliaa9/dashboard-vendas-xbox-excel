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iresdoriocibraco-my.sharepoint.com/personal/ana_santos_piresdoriocibraco_com_br/Documents/Área de Trabalho/FACULDADE/Curso - Santander - Excel/Dashboard/Projeto/"/>
    </mc:Choice>
  </mc:AlternateContent>
  <xr:revisionPtr revIDLastSave="241" documentId="8_{34ACD4D8-E8CF-4277-AF97-7D6AF9F42514}" xr6:coauthVersionLast="47" xr6:coauthVersionMax="47" xr10:uidLastSave="{5D9B2A2E-DDC2-491E-BED4-31F24B773B1D}"/>
  <bookViews>
    <workbookView xWindow="-120" yWindow="-120" windowWidth="29040" windowHeight="15720" tabRatio="3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3" l="1"/>
  <c r="E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tc={E6C0A50B-4249-47F7-8337-E0BF858E3F06}</author>
  </authors>
  <commentList>
    <comment ref="C26" authorId="0" shapeId="0" xr:uid="{E6C0A50B-4249-47F7-8337-E0BF858E3F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É um número que faz sentido ser mostrado isoladamente e não num gráfico</t>
      </text>
    </comment>
  </commentList>
</comments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<sst xmlns="http://schemas.openxmlformats.org/spreadsheetml/2006/main" count="2023" uniqueCount="325">
  <si>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</si>
  <si>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</si>
  <si>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</si>
  <si>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</si>
  <si>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</si>
  <si>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</si>
  <si>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</si>
  <si>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</si>
  <si>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</si>
  <si>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</si>
  <si>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</si>
  <si>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</si>
  <si>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</si>
  <si>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</si>
  <si>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</si>
  <si>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</si>
  <si>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</si>
  <si>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</si>
  <si>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</si>
  <si>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</si>
  <si>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</si>
  <si>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</si>
  <si>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</si>
  <si>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</si>
  <si>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</si>
  <si>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</si>
  <si>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</si>
  <si>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</si>
  <si>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</si>
  <si>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</si>
  <si>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</si>
  <si>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</si>
  <si>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</si>
  <si>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</si>
  <si>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</si>
  <si>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</si>
  <si>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</si>
  <si>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</si>
  <si>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</si>
  <si>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</si>
  <si>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</si>
  <si>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</si>
  <si>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</si>
  <si>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</si>
  <si>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</si>
  <si>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</si>
  <si>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</si>
  <si>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</si>
  <si>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</si>
  <si>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</si>
  <si>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</si>
  <si>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</si>
  <si>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</si>
  <si>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</si>
  <si>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</si>
  <si>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</si>
  <si>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</si>
  <si>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</si>
  <si>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</si>
  <si>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</si>
  <si>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</si>
  <si>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</si>
  <si>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</si>
  <si>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</si>
  <si>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</si>
  <si>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</si>
  <si>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</si>
  <si>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</si>
  <si>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</si>
  <si>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</si>
  <si>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</si>
  <si>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</si>
  <si>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</si>
  <si>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</si>
  <si>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</si>
  <si>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</si>
  <si>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</si>
  <si>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</si>
  <si>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</si>
  <si>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</si>
  <si>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</si>
  <si>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</si>
  <si>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</si>
  <si>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</si>
  <si>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</si>
  <si>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</si>
  <si>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</si>
  <si>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</si>
  <si>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</si>
  <si>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</si>
  <si>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</si>
  <si>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</si>
  <si>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</si>
  <si>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</si>
  <si>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</si>
  <si>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</si>
  <si>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</si>
  <si>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</si>
  <si>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</si>
  <si>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</si>
  <si>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</si>
  <si>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</si>
  <si>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</si>
  <si>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</si>
  <si>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</si>
  <si>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</si>
  <si>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</si>
  <si>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</si>
  <si>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</si>
  <si>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</si>
  <si>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</si>
  <si>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</si>
  <si>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</si>
  <si>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</si>
  <si>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</si>
  <si>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</si>
  <si>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</si>
  <si>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</si>
  <si>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</si>
  <si>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</si>
  <si>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</si>
  <si>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</si>
  <si>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</si>
  <si>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</si>
  <si>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</si>
  <si>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</si>
  <si>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</si>
  <si>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</si>
  <si>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</si>
  <si>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</si>
  <si>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</si>
  <si>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</si>
  <si>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</si>
  <si>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</si>
  <si>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</si>
  <si>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</si>
  <si>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</si>
  <si>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</si>
  <si>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</si>
  <si>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</si>
  <si>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</si>
  <si>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</si>
  <si>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</si>
  <si>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</si>
  <si>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</si>
  <si>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</si>
  <si>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</si>
  <si>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</si>
  <si>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</si>
  <si>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</si>
  <si>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</si>
  <si>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</si>
  <si>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</si>
  <si>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</si>
  <si>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</si>
  <si>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</si>
  <si>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</si>
  <si>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</si>
  <si>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</si>
  <si>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</si>
  <si>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</si>
  <si>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</si>
  <si>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</si>
  <si>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</si>
  <si>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</si>
  <si>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</si>
  <si>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</si>
  <si>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</si>
  <si>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</si>
  <si>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</si>
  <si>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</si>
  <si>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</si>
  <si>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</si>
  <si>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</si>
  <si>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</si>
  <si>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</si>
  <si>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</si>
  <si>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</si>
  <si>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</si>
  <si>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</si>
  <si>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</si>
  <si>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</si>
  <si>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</si>
  <si>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</si>
  <si>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</si>
  <si>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</si>
  <si>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</si>
  <si>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</si>
  <si>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</si>
  <si>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</si>
  <si>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</si>
  <si>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</si>
  <si>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</si>
  <si>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</si>
  <si>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</si>
  <si>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</si>
  <si>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</si>
  <si>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</si>
  <si>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</si>
  <si>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</si>
  <si>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</si>
  <si>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</si>
  <si>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</si>
  <si>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</si>
  <si>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</si>
  <si>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</si>
  <si>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</si>
  <si>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</si>
  <si>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</si>
  <si>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</si>
  <si>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</si>
  <si>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</si>
  <si>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</si>
  <si>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</si>
  <si>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</si>
  <si>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</si>
  <si>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</si>
  <si>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</si>
  <si>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</si>
  <si>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</si>
  <si>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</si>
  <si>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</si>
  <si>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</si>
  <si>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</si>
  <si>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</si>
  <si>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</si>
  <si>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</si>
  <si>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</si>
  <si>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</si>
  <si>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</si>
  <si>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</si>
  <si>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</si>
  <si>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</si>
  <si>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</si>
  <si>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</si>
  <si>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</si>
  <si>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</si>
  <si>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</si>
  <si>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</si>
  <si>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</si>
  <si>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</si>
  <si>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</si>
  <si>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</si>
  <si>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</si>
  <si>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</si>
  <si>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</si>
  <si>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</si>
  <si>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</si>
  <si>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</si>
  <si>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</si>
  <si>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</si>
  <si>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</si>
  <si>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</si>
  <si>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</si>
  <si>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</si>
  <si>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</si>
  <si>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</si>
  <si>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</si>
  <si>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</si>
  <si>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</si>
  <si>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</si>
  <si>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</si>
  <si>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</si>
  <si>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</si>
  <si>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</si>
  <si>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</si>
  <si>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</si>
  <si>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</si>
  <si>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</si>
  <si>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</si>
  <si>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</si>
  <si>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</si>
  <si>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</si>
  <si>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</si>
  <si>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</si>
  <si>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</si>
  <si>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</si>
  <si>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</si>
  <si>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</si>
  <si>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</si>
  <si>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</si>
  <si>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</si>
  <si>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</si>
  <si>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</si>
  <si>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</si>
  <si>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</si>
  <si>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</si>
  <si>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</si>
  <si>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</si>
  <si>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</si>
  <si>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</si>
  <si>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</si>
  <si>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</si>
  <si>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</si>
  <si>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</si>
  <si>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</si>
  <si>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</si>
  <si>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</si>
  <si>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</si>
  <si>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</si>
  <si>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</si>
  <si>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</si>
  <si>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</si>
  <si>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</si>
  <si>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</si>
  <si>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</si>
  <si>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</si>
  <si>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</si>
  <si>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</si>
  <si>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</si>
  <si>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</si>
  <si>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</si>
  <si>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</si>
  <si>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</si>
  <si>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</si>
  <si>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</si>
  <si>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</si>
  <si>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separando por auto renovação e não é por auto renovação</t>
    </r>
  </si>
  <si>
    <t>INFORMAÇÃO: É UMA PERGUNTA DE NEGÓCIO RESPONDIDA ATRAVÉS DE ALGUMA ANÁLISE DE DADO ESPECÍFICA</t>
  </si>
  <si>
    <t>XBOX GAME PASS SUBSCRIPTIONS SALES</t>
  </si>
  <si>
    <t>Pergunta de negócio 3 - Total de assinaturas do EA PLAY</t>
  </si>
  <si>
    <t>Soma de EA Play Season Pass</t>
  </si>
  <si>
    <t>big number</t>
  </si>
  <si>
    <t>Pergunta de negócio 4 -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</si>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</sst>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9"/>
      <color indexed="8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 applyAlignment="1">
      <alignment horizontal="left" vertical="center"/>
    </xf>
    <xf numFmtId="0" fontId="4" fillId="8" borderId="0" xfId="3"/>
    <xf numFmtId="0" fontId="5" fillId="0" borderId="2" xfId="1" applyFont="1" applyBorder="1"/>
    <xf numFmtId="0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0" fillId="0" borderId="2" xfId="0" applyBorder="1"/>
    <xf numFmtId="0" fontId="5" fillId="0" borderId="2" xfId="1" applyFont="1" applyBorder="1" applyAlignment="1">
      <alignment horizontal="left" indent="7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FACB2D8D-D9A9-4239-BD08-4660D3F76AB0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[meu projeto.xlsx]C̳álculos!tbl_anual_total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022291182851398E-2"/>
          <c:y val="9.1649161985769723E-2"/>
          <c:w val="0.94723994287121871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9-4BAB-AACF-D5B64FD69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61491263"/>
        <c:axId val="1398260399"/>
      </c:barChart>
      <c:catAx>
        <c:axId val="1561491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8260399"/>
        <c:crosses val="autoZero"/>
        <c:auto val="1"/>
        <c:lblAlgn val="ctr"/>
        <c:lblOffset val="100"/>
        <c:noMultiLvlLbl val="0"/>
      </c:catAx>
      <c:valAx>
        <c:axId val="139826039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6149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86143</xdr:colOff>
      <xdr:row>0</xdr:row>
      <xdr:rowOff>72054</xdr:rowOff>
    </xdr:from>
    <xdr:to>
      <xdr:col>3</xdr:col>
      <xdr:colOff>56029</xdr:colOff>
      <xdr:row>3</xdr:row>
      <xdr:rowOff>47626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66FBB28-9519-4D4A-9095-BD2959A231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15141" r="71947" b="18468"/>
        <a:stretch>
          <a:fillRect/>
        </a:stretch>
      </xdr:blipFill>
      <xdr:spPr>
        <a:xfrm>
          <a:off x="2226467" y="72054"/>
          <a:ext cx="810327" cy="905660"/>
        </a:xfrm>
        <a:prstGeom prst="rect">
          <a:avLst/>
        </a:prstGeom>
      </xdr:spPr>
    </xdr:pic>
    <xdr:clientData/>
  </xdr:twoCellAnchor>
  <xdr:twoCellAnchor editAs="absolute">
    <xdr:from>
      <xdr:col>0</xdr:col>
      <xdr:colOff>108558</xdr:colOff>
      <xdr:row>8</xdr:row>
      <xdr:rowOff>157302</xdr:rowOff>
    </xdr:from>
    <xdr:to>
      <xdr:col>0</xdr:col>
      <xdr:colOff>1937358</xdr:colOff>
      <xdr:row>16</xdr:row>
      <xdr:rowOff>16108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E3D77CA-64B5-4738-8549-1965F4C12F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558" y="1979476"/>
              <a:ext cx="1828800" cy="13828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369094</xdr:colOff>
      <xdr:row>7</xdr:row>
      <xdr:rowOff>112479</xdr:rowOff>
    </xdr:from>
    <xdr:to>
      <xdr:col>10</xdr:col>
      <xdr:colOff>280297</xdr:colOff>
      <xdr:row>15</xdr:row>
      <xdr:rowOff>124909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FC9B974-AC40-C927-875E-8DCC690A91AD}"/>
            </a:ext>
          </a:extLst>
        </xdr:cNvPr>
        <xdr:cNvGrpSpPr/>
      </xdr:nvGrpSpPr>
      <xdr:grpSpPr>
        <a:xfrm>
          <a:off x="2754485" y="1512240"/>
          <a:ext cx="4814508" cy="1768343"/>
          <a:chOff x="2744741" y="1502008"/>
          <a:chExt cx="4752144" cy="176054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16022E93-28D3-C94C-8201-37D719CBA3BC}"/>
              </a:ext>
            </a:extLst>
          </xdr:cNvPr>
          <xdr:cNvSpPr/>
        </xdr:nvSpPr>
        <xdr:spPr>
          <a:xfrm>
            <a:off x="2744741" y="1513947"/>
            <a:ext cx="4752144" cy="1748609"/>
          </a:xfrm>
          <a:prstGeom prst="roundRect">
            <a:avLst>
              <a:gd name="adj" fmla="val 912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DDA70BC5-A64D-FF0D-9B50-AA48FDFDBB31}"/>
              </a:ext>
            </a:extLst>
          </xdr:cNvPr>
          <xdr:cNvGrpSpPr/>
        </xdr:nvGrpSpPr>
        <xdr:grpSpPr>
          <a:xfrm>
            <a:off x="2744741" y="1502008"/>
            <a:ext cx="4752144" cy="1760547"/>
            <a:chOff x="2763951" y="1501207"/>
            <a:chExt cx="4809775" cy="1766951"/>
          </a:xfrm>
        </xdr:grpSpPr>
        <xdr:sp macro="" textlink="C̳álculos!E25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D3C6AF3-EA9D-21A9-A3A8-4E79EB453ABE}"/>
                </a:ext>
              </a:extLst>
            </xdr:cNvPr>
            <xdr:cNvSpPr/>
          </xdr:nvSpPr>
          <xdr:spPr>
            <a:xfrm>
              <a:off x="4575112" y="2050394"/>
              <a:ext cx="2878671" cy="1217764"/>
            </a:xfrm>
            <a:prstGeom prst="roundRect">
              <a:avLst>
                <a:gd name="adj" fmla="val 375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122A93-345B-466A-AD90-62E6BCC7EBC7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R$ 990,00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94683811-FC9C-42EB-A77B-95C9A756BA9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085399" y="2038454"/>
              <a:ext cx="1228232" cy="1222539"/>
            </a:xfrm>
            <a:prstGeom prst="rect">
              <a:avLst/>
            </a:prstGeom>
          </xdr:spPr>
        </xdr:pic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58B29A6D-CF3F-FEE1-8672-B5B3AAC33EEE}"/>
                </a:ext>
              </a:extLst>
            </xdr:cNvPr>
            <xdr:cNvSpPr/>
          </xdr:nvSpPr>
          <xdr:spPr>
            <a:xfrm>
              <a:off x="2763951" y="1501207"/>
              <a:ext cx="4809775" cy="5372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11</xdr:col>
      <xdr:colOff>283368</xdr:colOff>
      <xdr:row>7</xdr:row>
      <xdr:rowOff>112479</xdr:rowOff>
    </xdr:from>
    <xdr:to>
      <xdr:col>19</xdr:col>
      <xdr:colOff>366712</xdr:colOff>
      <xdr:row>15</xdr:row>
      <xdr:rowOff>128587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3503E7A8-B34B-C37B-06CC-9DA102F04B54}"/>
            </a:ext>
          </a:extLst>
        </xdr:cNvPr>
        <xdr:cNvGrpSpPr/>
      </xdr:nvGrpSpPr>
      <xdr:grpSpPr>
        <a:xfrm>
          <a:off x="8184977" y="1512240"/>
          <a:ext cx="4812713" cy="1772021"/>
          <a:chOff x="8129587" y="1509712"/>
          <a:chExt cx="4774406" cy="1762125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13025841-C4FD-9DB2-25FC-CD72058E8E83}"/>
              </a:ext>
            </a:extLst>
          </xdr:cNvPr>
          <xdr:cNvGrpSpPr/>
        </xdr:nvGrpSpPr>
        <xdr:grpSpPr>
          <a:xfrm>
            <a:off x="8129587" y="1509712"/>
            <a:ext cx="4774406" cy="1762125"/>
            <a:chOff x="2750344" y="1524000"/>
            <a:chExt cx="4774406" cy="1762125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98FCF4A-F3E9-94F1-554B-D9A1245D3423}"/>
                </a:ext>
              </a:extLst>
            </xdr:cNvPr>
            <xdr:cNvSpPr/>
          </xdr:nvSpPr>
          <xdr:spPr>
            <a:xfrm>
              <a:off x="2750344" y="1535906"/>
              <a:ext cx="4774406" cy="1750219"/>
            </a:xfrm>
            <a:prstGeom prst="roundRect">
              <a:avLst>
                <a:gd name="adj" fmla="val 912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8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7545F1B8-2AA5-8487-4372-79C38DE9AA8D}"/>
                </a:ext>
              </a:extLst>
            </xdr:cNvPr>
            <xdr:cNvSpPr/>
          </xdr:nvSpPr>
          <xdr:spPr>
            <a:xfrm>
              <a:off x="4548187" y="2071687"/>
              <a:ext cx="2857503" cy="1214438"/>
            </a:xfrm>
            <a:prstGeom prst="roundRect">
              <a:avLst>
                <a:gd name="adj" fmla="val 375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084B1CF-B781-4572-8456-EDDE77AF4C36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t>R$ 1.140,00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A50F9CBB-F457-62A7-F033-52D585B3762C}"/>
                </a:ext>
              </a:extLst>
            </xdr:cNvPr>
            <xdr:cNvSpPr/>
          </xdr:nvSpPr>
          <xdr:spPr>
            <a:xfrm>
              <a:off x="2750344" y="1524000"/>
              <a:ext cx="4774406" cy="53578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MINECRAFT SEASON PASS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B5447A25-8FBB-43AD-BECF-0C627F759A73}"/>
              </a:ext>
            </a:extLst>
          </xdr:cNvPr>
          <xdr:cNvGrpSpPr/>
        </xdr:nvGrpSpPr>
        <xdr:grpSpPr>
          <a:xfrm>
            <a:off x="8379618" y="2283617"/>
            <a:ext cx="1371600" cy="728663"/>
            <a:chOff x="3495675" y="5400674"/>
            <a:chExt cx="1549476" cy="752476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F4035E56-6B7B-C550-98AD-479D053C2C6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636D9A35-1CE9-D91A-2FAA-3B4B4C0626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369475</xdr:colOff>
      <xdr:row>18</xdr:row>
      <xdr:rowOff>23149</xdr:rowOff>
    </xdr:from>
    <xdr:to>
      <xdr:col>20</xdr:col>
      <xdr:colOff>2241</xdr:colOff>
      <xdr:row>36</xdr:row>
      <xdr:rowOff>44821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62DCE5F8-8BAC-3671-3BAE-6847A4DF7A2E}"/>
            </a:ext>
          </a:extLst>
        </xdr:cNvPr>
        <xdr:cNvGrpSpPr/>
      </xdr:nvGrpSpPr>
      <xdr:grpSpPr>
        <a:xfrm>
          <a:off x="2754866" y="3750323"/>
          <a:ext cx="10251071" cy="3450672"/>
          <a:chOff x="2767533" y="4124504"/>
          <a:chExt cx="10271311" cy="298983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327C1772-AFEE-4013-9AF0-898CB02AC71E}"/>
              </a:ext>
            </a:extLst>
          </xdr:cNvPr>
          <xdr:cNvSpPr/>
        </xdr:nvSpPr>
        <xdr:spPr>
          <a:xfrm>
            <a:off x="2768552" y="4137772"/>
            <a:ext cx="10261788" cy="2976562"/>
          </a:xfrm>
          <a:prstGeom prst="roundRect">
            <a:avLst>
              <a:gd name="adj" fmla="val 426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28" name="Agrupar 27">
            <a:extLst>
              <a:ext uri="{FF2B5EF4-FFF2-40B4-BE49-F238E27FC236}">
                <a16:creationId xmlns:a16="http://schemas.microsoft.com/office/drawing/2014/main" id="{48EC0CE1-60D0-FFA1-5CE8-7C03077D4EBC}"/>
              </a:ext>
            </a:extLst>
          </xdr:cNvPr>
          <xdr:cNvGrpSpPr/>
        </xdr:nvGrpSpPr>
        <xdr:grpSpPr>
          <a:xfrm>
            <a:off x="2767533" y="4124504"/>
            <a:ext cx="10271311" cy="2923996"/>
            <a:chOff x="2767533" y="4124504"/>
            <a:chExt cx="10271311" cy="3114077"/>
          </a:xfrm>
        </xdr:grpSpPr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1B295A35-89D1-488F-83EC-EEA94449BD0A}"/>
                </a:ext>
              </a:extLst>
            </xdr:cNvPr>
            <xdr:cNvGraphicFramePr>
              <a:graphicFrameLocks/>
            </xdr:cNvGraphicFramePr>
          </xdr:nvGraphicFramePr>
          <xdr:xfrm>
            <a:off x="2801972" y="4316366"/>
            <a:ext cx="10132251" cy="292221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539E1DA8-9D2F-4A68-AA17-2BC6EF139703}"/>
                </a:ext>
              </a:extLst>
            </xdr:cNvPr>
            <xdr:cNvSpPr/>
          </xdr:nvSpPr>
          <xdr:spPr>
            <a:xfrm>
              <a:off x="2767533" y="4124504"/>
              <a:ext cx="10271311" cy="53725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XBOX GAME PA</a:t>
              </a:r>
              <a:r>
                <a:rPr lang="pt-BR" sz="11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S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0</xdr:col>
      <xdr:colOff>569119</xdr:colOff>
      <xdr:row>1</xdr:row>
      <xdr:rowOff>145677</xdr:rowOff>
    </xdr:from>
    <xdr:to>
      <xdr:col>0</xdr:col>
      <xdr:colOff>1476797</xdr:colOff>
      <xdr:row>5</xdr:row>
      <xdr:rowOff>67236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9F3233D1-CDBB-4B5D-AE60-0F69F2EDE032}"/>
            </a:ext>
          </a:extLst>
        </xdr:cNvPr>
        <xdr:cNvSpPr/>
      </xdr:nvSpPr>
      <xdr:spPr>
        <a:xfrm>
          <a:off x="569119" y="336177"/>
          <a:ext cx="907678" cy="862853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417841</xdr:colOff>
      <xdr:row>7</xdr:row>
      <xdr:rowOff>56030</xdr:rowOff>
    </xdr:from>
    <xdr:to>
      <xdr:col>0</xdr:col>
      <xdr:colOff>1628076</xdr:colOff>
      <xdr:row>7</xdr:row>
      <xdr:rowOff>336177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D3D7525-E33F-9757-FFFE-7C112D652A54}"/>
            </a:ext>
          </a:extLst>
        </xdr:cNvPr>
        <xdr:cNvSpPr/>
      </xdr:nvSpPr>
      <xdr:spPr>
        <a:xfrm>
          <a:off x="417841" y="1445559"/>
          <a:ext cx="1210235" cy="28014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&gt; Bem</a:t>
          </a:r>
          <a:r>
            <a:rPr lang="pt-BR" sz="1100" b="1" baseline="0"/>
            <a:t> Vinda, Ana</a:t>
          </a:r>
          <a:endParaRPr lang="pt-BR" sz="1100" b="1"/>
        </a:p>
      </xdr:txBody>
    </xdr:sp>
    <xdr:clientData/>
  </xdr:twoCellAnchor>
  <xdr:twoCellAnchor editAs="absolute">
    <xdr:from>
      <xdr:col>2</xdr:col>
      <xdr:colOff>56029</xdr:colOff>
      <xdr:row>2</xdr:row>
      <xdr:rowOff>224115</xdr:rowOff>
    </xdr:from>
    <xdr:to>
      <xdr:col>9</xdr:col>
      <xdr:colOff>415899</xdr:colOff>
      <xdr:row>5</xdr:row>
      <xdr:rowOff>5280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2E89472F-819F-4392-82E4-274A49046397}"/>
            </a:ext>
          </a:extLst>
        </xdr:cNvPr>
        <xdr:cNvSpPr/>
      </xdr:nvSpPr>
      <xdr:spPr>
        <a:xfrm>
          <a:off x="2431676" y="907674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01/01/2025 - 31/12/2025 | Update date: 31/12/2025 09:00:00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Santos" id="{2036C621-5DE2-4F35-B6D9-BFEDCD61170E}" userId="S::Ana.Santos@piresdoriocibraco.com.br::18e22ea2-f1d8-405f-bd4a-a7245b75967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Santos" refreshedDate="46308.555875694445" createdVersion="8" refreshedVersion="8" minRefreshableVersion="3" recordCount="295" xr:uid="{70D79F02-C163-4E71-AE6F-DB52E73648D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482721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71D761-4531-4CBE-A9C6-8504D8622966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E5C3E-2446-4B46-B284-718C55D03309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E6AFA-FFB8-43AC-A964-750BAF545093}" name="tbl_a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FD91CF1-B810-4E05-87EC-51ED84DF3568}" sourceName="Subscription Type">
  <pivotTables>
    <pivotTable tabId="3" name="tbl_anual_total"/>
    <pivotTable tabId="3" name="tbl_easeasonpass_total"/>
    <pivotTable tabId="3" name="Tabela dinâmica2"/>
  </pivotTables>
  <data>
    <tabular pivotCacheId="1648272127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99BB8149-7EF3-4F4D-A93D-76E1C4E3AD1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6" dT="2026-10-13T17:12:10.41" personId="{2036C621-5DE2-4F35-B6D9-BFEDCD61170E}" id="{E6C0A50B-4249-47F7-8337-E0BF858E3F06}">
    <text>É um número que faz sentido ser mostrado isoladamente e não num gráfico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7/10/relationships/threadedComment" Target="../threadedComments/threadedComment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J18" sqref="J18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J18" sqref="J1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8"/>
  <sheetViews>
    <sheetView showGridLines="0" topLeftCell="A7" workbookViewId="0">
      <selection activeCell="J18" sqref="J18"/>
    </sheetView>
  </sheetViews>
  <sheetFormatPr defaultRowHeight="15" x14ac:dyDescent="0.25"/>
  <cols>
    <col min="2" max="2" width="18.42578125" bestFit="1" customWidth="1"/>
    <col min="3" max="4" width="35.140625" bestFit="1" customWidth="1"/>
    <col min="5" max="5" width="10.7109375" bestFit="1" customWidth="1"/>
    <col min="6" max="6" width="19.140625" bestFit="1" customWidth="1"/>
    <col min="7" max="7" width="3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7" x14ac:dyDescent="0.25">
      <c r="B3" s="15" t="s">
        <v>318</v>
      </c>
      <c r="C3" s="15"/>
      <c r="D3" s="15"/>
      <c r="E3" s="15"/>
      <c r="F3" s="15"/>
      <c r="G3" s="16"/>
    </row>
    <row r="5" spans="2:7" x14ac:dyDescent="0.25">
      <c r="B5" t="s">
        <v>313</v>
      </c>
    </row>
    <row r="6" spans="2:7" x14ac:dyDescent="0.25">
      <c r="B6" t="s">
        <v>317</v>
      </c>
    </row>
    <row r="8" spans="2:7" x14ac:dyDescent="0.25">
      <c r="B8" s="12" t="s">
        <v>16</v>
      </c>
      <c r="C8" t="s">
        <v>27</v>
      </c>
    </row>
    <row r="10" spans="2:7" x14ac:dyDescent="0.25">
      <c r="B10" s="12" t="s">
        <v>314</v>
      </c>
      <c r="C10" t="s">
        <v>316</v>
      </c>
    </row>
    <row r="11" spans="2:7" x14ac:dyDescent="0.25">
      <c r="B11" s="13" t="s">
        <v>23</v>
      </c>
      <c r="C11" s="14">
        <v>806</v>
      </c>
    </row>
    <row r="12" spans="2:7" x14ac:dyDescent="0.25">
      <c r="B12" s="13" t="s">
        <v>19</v>
      </c>
      <c r="C12" s="14">
        <v>1502</v>
      </c>
    </row>
    <row r="13" spans="2:7" x14ac:dyDescent="0.25">
      <c r="B13" s="13" t="s">
        <v>315</v>
      </c>
      <c r="C13" s="14">
        <v>2308</v>
      </c>
    </row>
    <row r="17" spans="2:5" x14ac:dyDescent="0.25">
      <c r="B17" t="s">
        <v>320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314</v>
      </c>
      <c r="C21" t="s">
        <v>321</v>
      </c>
    </row>
    <row r="22" spans="2:5" x14ac:dyDescent="0.25">
      <c r="B22" s="13" t="s">
        <v>22</v>
      </c>
      <c r="C22" s="18">
        <v>0</v>
      </c>
    </row>
    <row r="23" spans="2:5" x14ac:dyDescent="0.25">
      <c r="B23" s="13" t="s">
        <v>26</v>
      </c>
      <c r="C23" s="18">
        <v>0</v>
      </c>
    </row>
    <row r="24" spans="2:5" x14ac:dyDescent="0.25">
      <c r="B24" s="13" t="s">
        <v>18</v>
      </c>
      <c r="C24" s="18">
        <v>990</v>
      </c>
    </row>
    <row r="25" spans="2:5" x14ac:dyDescent="0.25">
      <c r="B25" s="13" t="s">
        <v>315</v>
      </c>
      <c r="C25" s="18">
        <v>990</v>
      </c>
      <c r="E25" s="20">
        <f>GETPIVOTDATA("EA Play Season Pass
Price",$B$21)</f>
        <v>990</v>
      </c>
    </row>
    <row r="26" spans="2:5" x14ac:dyDescent="0.25">
      <c r="C26" s="19" t="s">
        <v>322</v>
      </c>
    </row>
    <row r="30" spans="2:5" x14ac:dyDescent="0.25">
      <c r="B30" t="s">
        <v>323</v>
      </c>
    </row>
    <row r="32" spans="2:5" x14ac:dyDescent="0.25">
      <c r="B32" s="12" t="s">
        <v>16</v>
      </c>
      <c r="C32" t="s">
        <v>27</v>
      </c>
    </row>
    <row r="34" spans="2:5" x14ac:dyDescent="0.25">
      <c r="B34" s="12" t="s">
        <v>314</v>
      </c>
      <c r="C34" t="s">
        <v>324</v>
      </c>
    </row>
    <row r="35" spans="2:5" x14ac:dyDescent="0.25">
      <c r="B35" s="13" t="s">
        <v>22</v>
      </c>
      <c r="C35" s="14">
        <v>0</v>
      </c>
    </row>
    <row r="36" spans="2:5" x14ac:dyDescent="0.25">
      <c r="B36" s="13" t="s">
        <v>26</v>
      </c>
      <c r="C36" s="14">
        <v>480</v>
      </c>
    </row>
    <row r="37" spans="2:5" x14ac:dyDescent="0.25">
      <c r="B37" s="13" t="s">
        <v>18</v>
      </c>
      <c r="C37" s="14">
        <v>660</v>
      </c>
    </row>
    <row r="38" spans="2:5" x14ac:dyDescent="0.25">
      <c r="B38" s="13" t="s">
        <v>315</v>
      </c>
      <c r="C38" s="14">
        <v>1140</v>
      </c>
      <c r="E38" s="20">
        <f>GETPIVOTDATA("Minecraft Season Pass Price",$B$34)</f>
        <v>1140</v>
      </c>
    </row>
  </sheetData>
  <pageMargins left="0.511811024" right="0.511811024" top="0.78740157499999996" bottom="0.78740157499999996" header="0.31496062000000002" footer="0.31496062000000002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T50"/>
  <sheetViews>
    <sheetView showGridLines="0" showRowColHeaders="0" tabSelected="1" zoomScale="115" zoomScaleNormal="115" workbookViewId="0"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2.140625" style="4" customWidth="1"/>
    <col min="2" max="2" width="3.5703125" customWidth="1"/>
    <col min="12" max="12" width="6.5703125" customWidth="1"/>
    <col min="20" max="20" width="5.5703125" customWidth="1"/>
  </cols>
  <sheetData>
    <row r="2" spans="1:20" ht="39" customHeight="1" thickBot="1" x14ac:dyDescent="0.35">
      <c r="C2" s="22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21"/>
      <c r="S2" s="21"/>
      <c r="T2" s="21"/>
    </row>
    <row r="3" spans="1:20" ht="19.5" customHeight="1" thickTop="1" x14ac:dyDescent="0.25"/>
    <row r="4" spans="1:20" s="7" customFormat="1" ht="8.25" customHeight="1" x14ac:dyDescent="0.25">
      <c r="A4" s="4"/>
    </row>
    <row r="5" spans="1:20" s="7" customFormat="1" ht="7.5" customHeight="1" x14ac:dyDescent="0.25">
      <c r="A5" s="4"/>
    </row>
    <row r="6" spans="1:20" s="7" customFormat="1" ht="10.5" customHeight="1" x14ac:dyDescent="0.25">
      <c r="A6" s="4"/>
    </row>
    <row r="7" spans="1:20" s="7" customFormat="1" ht="9.75" customHeight="1" x14ac:dyDescent="0.25">
      <c r="A7" s="4"/>
    </row>
    <row r="8" spans="1:20" s="7" customFormat="1" ht="33" customHeight="1" x14ac:dyDescent="0.25">
      <c r="A8" s="4"/>
    </row>
    <row r="9" spans="1:20" s="7" customFormat="1" x14ac:dyDescent="0.25">
      <c r="A9" s="4"/>
    </row>
    <row r="10" spans="1:20" s="7" customFormat="1" x14ac:dyDescent="0.25">
      <c r="A10" s="4"/>
    </row>
    <row r="11" spans="1:20" s="7" customFormat="1" x14ac:dyDescent="0.25">
      <c r="A11" s="4"/>
    </row>
    <row r="12" spans="1:20" s="7" customFormat="1" x14ac:dyDescent="0.25">
      <c r="A12" s="4"/>
    </row>
    <row r="13" spans="1:20" s="7" customFormat="1" x14ac:dyDescent="0.25">
      <c r="A13" s="4"/>
    </row>
    <row r="14" spans="1:20" s="7" customFormat="1" x14ac:dyDescent="0.25">
      <c r="A14" s="4"/>
    </row>
    <row r="15" spans="1:20" s="7" customFormat="1" x14ac:dyDescent="0.25">
      <c r="A15" s="4"/>
    </row>
    <row r="16" spans="1:20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Santos</cp:lastModifiedBy>
  <dcterms:created xsi:type="dcterms:W3CDTF">2024-12-19T13:13:10Z</dcterms:created>
  <dcterms:modified xsi:type="dcterms:W3CDTF">2026-10-13T17:47:31Z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